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INVENTARIOS DIARIO 2025\09. LLENADO SEPTIEMBE 2025\"/>
    </mc:Choice>
  </mc:AlternateContent>
  <xr:revisionPtr revIDLastSave="0" documentId="13_ncr:1_{7911B229-B256-43C1-9CBA-1D84695127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51" i="1"/>
  <c r="G43" i="1"/>
  <c r="G44" i="1"/>
  <c r="G45" i="1"/>
  <c r="G46" i="1"/>
  <c r="G47" i="1"/>
  <c r="G48" i="1"/>
  <c r="G49" i="1"/>
  <c r="G50" i="1"/>
  <c r="G42" i="1"/>
  <c r="G41" i="1"/>
  <c r="G40" i="1"/>
  <c r="F54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E52" i="1"/>
  <c r="F52" i="1"/>
  <c r="G39" i="1"/>
  <c r="G38" i="1"/>
  <c r="G37" i="1"/>
  <c r="G36" i="1"/>
  <c r="G35" i="1"/>
  <c r="G34" i="1"/>
  <c r="G33" i="1"/>
  <c r="G31" i="1" l="1"/>
  <c r="G29" i="1" l="1"/>
  <c r="G30" i="1"/>
  <c r="G32" i="1"/>
  <c r="G23" i="1"/>
  <c r="G24" i="1"/>
  <c r="G25" i="1"/>
  <c r="G26" i="1"/>
  <c r="G27" i="1"/>
  <c r="E54" i="1"/>
  <c r="G21" i="1"/>
  <c r="G22" i="1"/>
  <c r="F55" i="1" l="1"/>
  <c r="G52" i="1"/>
  <c r="D55" i="1" l="1"/>
  <c r="E55" i="1" s="1"/>
</calcChain>
</file>

<file path=xl/sharedStrings.xml><?xml version="1.0" encoding="utf-8"?>
<sst xmlns="http://schemas.openxmlformats.org/spreadsheetml/2006/main" count="64" uniqueCount="58">
  <si>
    <t>CONTROL DE LLENADO Y DESPACHO DE GARRAFONES</t>
  </si>
  <si>
    <t xml:space="preserve">No. </t>
  </si>
  <si>
    <t xml:space="preserve">FECHA </t>
  </si>
  <si>
    <t xml:space="preserve">NOMBRES Y APELLIDOS </t>
  </si>
  <si>
    <t xml:space="preserve">DEPENDENCIA </t>
  </si>
  <si>
    <t>NO. DE GARRAFONES DE CAMBIOS</t>
  </si>
  <si>
    <t xml:space="preserve">NO.DE GARRAFONES PROPIOS </t>
  </si>
  <si>
    <t>TOTAL LLENADO</t>
  </si>
  <si>
    <t>GARRAFONES ENTREGADOS CON LOGOTIPO</t>
  </si>
  <si>
    <t>GARRAFONES CON LOGOTIPO EN EXISTENCIA</t>
  </si>
  <si>
    <t xml:space="preserve">GARRAFONES  ENTREGADOS SIN LOGOTIPO </t>
  </si>
  <si>
    <t>GARRAFONES EN EXISTENCIA SIN LOGOTIPO</t>
  </si>
  <si>
    <t>TOTAL EXISTENCIA</t>
  </si>
  <si>
    <t xml:space="preserve">   </t>
  </si>
  <si>
    <t>TOTAL ENTREGADOS</t>
  </si>
  <si>
    <t xml:space="preserve"> </t>
  </si>
  <si>
    <t xml:space="preserve">  </t>
  </si>
  <si>
    <t>TOTAL</t>
  </si>
  <si>
    <t>COMISARIA 12</t>
  </si>
  <si>
    <t>EEPOL</t>
  </si>
  <si>
    <t>INFRA</t>
  </si>
  <si>
    <t>RUBEN ORDOÑEZ</t>
  </si>
  <si>
    <t>JULIO CHACOJ</t>
  </si>
  <si>
    <t>SECPRO</t>
  </si>
  <si>
    <t>ARCENIO GUZMAN</t>
  </si>
  <si>
    <t>CARLOS MAQUIN</t>
  </si>
  <si>
    <t>SGAIA</t>
  </si>
  <si>
    <t>MARLVIN VASQUEZ</t>
  </si>
  <si>
    <t>DESPACHO</t>
  </si>
  <si>
    <t>JORGE MIRANDA</t>
  </si>
  <si>
    <t>LOGISTICA</t>
  </si>
  <si>
    <t>FRANCISCO LOPEZ</t>
  </si>
  <si>
    <t>DELMY LOPEZ</t>
  </si>
  <si>
    <t>ARCH</t>
  </si>
  <si>
    <t>JOSE PERALTA</t>
  </si>
  <si>
    <t>SGIC</t>
  </si>
  <si>
    <t>OSCAR MUÑOZ</t>
  </si>
  <si>
    <t>APOYO IG</t>
  </si>
  <si>
    <t>ILSIAs garcia</t>
  </si>
  <si>
    <t>eepol</t>
  </si>
  <si>
    <t>ANTHONY GARCIA</t>
  </si>
  <si>
    <t>RONALD OSORIO</t>
  </si>
  <si>
    <t>DIPRONA</t>
  </si>
  <si>
    <t>BRAYAN URIZAR</t>
  </si>
  <si>
    <t>EDWIN MORALES</t>
  </si>
  <si>
    <t>FREDY MARROQUIN</t>
  </si>
  <si>
    <t>COM.73</t>
  </si>
  <si>
    <t>CESAR VELIZ</t>
  </si>
  <si>
    <t>HERRERIA</t>
  </si>
  <si>
    <t>DARLING FUNES</t>
  </si>
  <si>
    <t>IGPNC</t>
  </si>
  <si>
    <t>MATEO AVILA</t>
  </si>
  <si>
    <t>DIFEP</t>
  </si>
  <si>
    <t>ABNER CALI</t>
  </si>
  <si>
    <t>SEGURIDAD</t>
  </si>
  <si>
    <t>KEVIN GARCIA</t>
  </si>
  <si>
    <t>SGP</t>
  </si>
  <si>
    <t>EGAR CABRERA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</si>
</sst>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0" fillId="3" borderId="0" applyNumberFormat="0" applyBorder="0" applyAlignment="0" applyProtection="0"/>
    <xf numFmtId="0" fontId="11" fillId="2" borderId="0" applyNumberFormat="0" applyBorder="0" applyAlignment="0" applyProtection="0"/>
  </cellStyleXfs>
  <cellXfs count="27">
    <xf numFmtId="0" fontId="0" fillId="0" borderId="0" xfId="0"/>
    <xf numFmtId="0" fontId="8" fillId="3" borderId="4" xfId="1" applyFont="1" applyBorder="1" applyAlignment="1">
      <alignment horizontal="center" vertical="center"/>
    </xf>
    <xf numFmtId="0" fontId="8" fillId="3" borderId="4" xfId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9" fillId="4" borderId="4" xfId="0" applyFont="1" applyFill="1" applyBorder="1"/>
    <xf numFmtId="0" fontId="9" fillId="4" borderId="4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/>
    <xf numFmtId="0" fontId="12" fillId="0" borderId="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5" fillId="0" borderId="4" xfId="0" applyFont="1" applyBorder="1"/>
    <xf numFmtId="0" fontId="4" fillId="0" borderId="4" xfId="0" applyFont="1" applyBorder="1" applyAlignment="1">
      <alignment horizontal="center"/>
    </xf>
    <xf numFmtId="0" fontId="3" fillId="0" borderId="4" xfId="0" applyFont="1" applyBorder="1"/>
    <xf numFmtId="0" fontId="2" fillId="0" borderId="4" xfId="0" applyFont="1" applyBorder="1"/>
    <xf numFmtId="0" fontId="2" fillId="0" borderId="6" xfId="0" applyFont="1" applyFill="1" applyBorder="1"/>
    <xf numFmtId="0" fontId="1" fillId="0" borderId="4" xfId="0" applyFont="1" applyBorder="1"/>
    <xf numFmtId="0" fontId="1" fillId="0" borderId="6" xfId="0" applyFont="1" applyBorder="1"/>
    <xf numFmtId="14" fontId="0" fillId="0" borderId="5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7" fillId="2" borderId="1" xfId="2" applyFont="1" applyBorder="1" applyAlignment="1">
      <alignment horizontal="center"/>
    </xf>
    <xf numFmtId="0" fontId="7" fillId="2" borderId="2" xfId="2" applyFont="1" applyBorder="1" applyAlignment="1">
      <alignment horizontal="center"/>
    </xf>
    <xf numFmtId="0" fontId="7" fillId="2" borderId="3" xfId="2" applyFont="1" applyBorder="1" applyAlignment="1">
      <alignment horizontal="center"/>
    </xf>
  </cellXfs>
  <cellStyles count="3">
    <cellStyle name="Bueno" xfId="1" builtinId="26"/>
    <cellStyle name="Neutral" xfId="2" builtinId="28"/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53:F55" totalsRowShown="0">
  <autoFilter ref="A53:F55" xr:uid="{00000000-0009-0000-0100-000001000000}">
    <filterColumn colId="3">
      <filters>
        <filter val="79"/>
      </filters>
    </filterColumn>
  </autoFilter>
  <sortState xmlns:xlrd2="http://schemas.microsoft.com/office/spreadsheetml/2017/richdata2" ref="A53:D55">
    <sortCondition ref="D53:D55"/>
  </sortState>
  <tableColumns count="6">
    <tableColumn id="1" xr3:uid="{00000000-0010-0000-0000-000001000000}" name="GARRAFONES ENTREGADOS CON LOGOTIPO"/>
    <tableColumn id="2" xr3:uid="{00000000-0010-0000-0000-000002000000}" name="GARRAFONES CON LOGOTIPO EN EXISTENCIA"/>
    <tableColumn id="3" xr3:uid="{00000000-0010-0000-0000-000003000000}" name="GARRAFONES  ENTREGADOS SIN LOGOTIPO "/>
    <tableColumn id="4" xr3:uid="{00000000-0010-0000-0000-000004000000}" name="GARRAFONES EN EXISTENCIA SIN LOGOTIPO" dataDxfId="2">
      <calculatedColumnFormula>100-Tabla1[[#This Row],[GARRAFONES  ENTREGADOS SIN LOGOTIPO ]]</calculatedColumnFormula>
    </tableColumn>
    <tableColumn id="5" xr3:uid="{2A7848C4-D23C-4B52-AD8F-CFA06EC30B23}" name="TOTAL EXISTENCIA" dataDxfId="1">
      <calculatedColumnFormula>SUM(Tabla1[[#This Row],[GARRAFONES CON LOGOTIPO EN EXISTENCIA]]+Tabla1[[#This Row],[GARRAFONES EN EXISTENCIA SIN LOGOTIPO]])</calculatedColumnFormula>
    </tableColumn>
    <tableColumn id="6" xr3:uid="{F08E970D-7557-4FE2-AC48-76B97A4AD89D}" name="TOTAL ENTREGADOS" dataDxfId="0">
      <calculatedColumnFormula>Tabla1[[#This Row],[GARRAFONES ENTREGADOS CON LOGOTIPO]]+Tabla1[[#This Row],[GARRAFONES  ENTREGADOS SIN LOGOTIPO 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"/>
  <sheetViews>
    <sheetView tabSelected="1" topLeftCell="A23" zoomScale="85" zoomScaleNormal="85" workbookViewId="0">
      <selection activeCell="C56" sqref="C56"/>
    </sheetView>
  </sheetViews>
  <sheetFormatPr baseColWidth="10" defaultColWidth="9.140625" defaultRowHeight="15"/>
  <cols>
    <col min="1" max="1" width="10.42578125" customWidth="1"/>
    <col min="2" max="2" width="14.28515625" customWidth="1"/>
    <col min="3" max="3" width="35.5703125" customWidth="1"/>
    <col min="4" max="4" width="25" customWidth="1"/>
    <col min="5" max="5" width="15.85546875" customWidth="1"/>
    <col min="6" max="6" width="12.85546875" customWidth="1"/>
    <col min="7" max="7" width="14.28515625" customWidth="1"/>
  </cols>
  <sheetData>
    <row r="1" spans="1:7" ht="18.75">
      <c r="A1" s="24" t="s">
        <v>0</v>
      </c>
      <c r="B1" s="25"/>
      <c r="C1" s="25"/>
      <c r="D1" s="25"/>
      <c r="E1" s="25"/>
      <c r="F1" s="25"/>
      <c r="G1" s="26"/>
    </row>
    <row r="2" spans="1:7" ht="65.2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 s="3">
        <v>1</v>
      </c>
      <c r="B3" s="22">
        <v>45911</v>
      </c>
      <c r="C3" s="18" t="s">
        <v>21</v>
      </c>
      <c r="D3" s="18" t="s">
        <v>18</v>
      </c>
      <c r="E3" s="5"/>
      <c r="F3" s="5">
        <v>3</v>
      </c>
      <c r="G3" s="5">
        <f t="shared" ref="G3:G20" si="0">E3+F3</f>
        <v>3</v>
      </c>
    </row>
    <row r="4" spans="1:7">
      <c r="A4" s="3">
        <v>2</v>
      </c>
      <c r="B4" s="23"/>
      <c r="C4" s="18" t="s">
        <v>22</v>
      </c>
      <c r="D4" s="18" t="s">
        <v>23</v>
      </c>
      <c r="E4" s="16">
        <v>1</v>
      </c>
      <c r="F4" s="5"/>
      <c r="G4" s="5">
        <f t="shared" si="0"/>
        <v>1</v>
      </c>
    </row>
    <row r="5" spans="1:7">
      <c r="A5" s="3">
        <v>3</v>
      </c>
      <c r="B5" s="23"/>
      <c r="C5" s="18" t="s">
        <v>24</v>
      </c>
      <c r="D5" s="18" t="s">
        <v>20</v>
      </c>
      <c r="E5" s="5">
        <v>1</v>
      </c>
      <c r="F5" s="5"/>
      <c r="G5" s="5">
        <f t="shared" si="0"/>
        <v>1</v>
      </c>
    </row>
    <row r="6" spans="1:7">
      <c r="A6" s="3">
        <v>4</v>
      </c>
      <c r="B6" s="23"/>
      <c r="C6" s="18" t="s">
        <v>25</v>
      </c>
      <c r="D6" s="18" t="s">
        <v>26</v>
      </c>
      <c r="E6" s="5">
        <v>2</v>
      </c>
      <c r="F6" s="5"/>
      <c r="G6" s="5">
        <f t="shared" si="0"/>
        <v>2</v>
      </c>
    </row>
    <row r="7" spans="1:7">
      <c r="A7" s="3">
        <v>5</v>
      </c>
      <c r="B7" s="23"/>
      <c r="C7" s="18" t="s">
        <v>27</v>
      </c>
      <c r="D7" s="18" t="s">
        <v>28</v>
      </c>
      <c r="E7" s="5"/>
      <c r="F7" s="3">
        <v>9</v>
      </c>
      <c r="G7" s="5">
        <f t="shared" si="0"/>
        <v>9</v>
      </c>
    </row>
    <row r="8" spans="1:7">
      <c r="A8" s="3">
        <v>6</v>
      </c>
      <c r="B8" s="23"/>
      <c r="C8" s="18" t="s">
        <v>29</v>
      </c>
      <c r="D8" s="18" t="s">
        <v>30</v>
      </c>
      <c r="E8" s="5"/>
      <c r="F8" s="3">
        <v>7</v>
      </c>
      <c r="G8" s="5">
        <f t="shared" si="0"/>
        <v>7</v>
      </c>
    </row>
    <row r="9" spans="1:7">
      <c r="A9" s="3">
        <v>7</v>
      </c>
      <c r="B9" s="23"/>
      <c r="C9" s="18" t="s">
        <v>31</v>
      </c>
      <c r="D9" s="18" t="s">
        <v>19</v>
      </c>
      <c r="E9" s="5">
        <v>1</v>
      </c>
      <c r="F9" s="3"/>
      <c r="G9" s="5">
        <f t="shared" si="0"/>
        <v>1</v>
      </c>
    </row>
    <row r="10" spans="1:7">
      <c r="A10" s="3">
        <v>8</v>
      </c>
      <c r="B10" s="23"/>
      <c r="C10" s="18" t="s">
        <v>32</v>
      </c>
      <c r="D10" s="18" t="s">
        <v>33</v>
      </c>
      <c r="E10" s="5"/>
      <c r="F10" s="3">
        <v>3</v>
      </c>
      <c r="G10" s="5">
        <f t="shared" si="0"/>
        <v>3</v>
      </c>
    </row>
    <row r="11" spans="1:7">
      <c r="A11" s="3">
        <v>9</v>
      </c>
      <c r="B11" s="23"/>
      <c r="C11" s="18" t="s">
        <v>34</v>
      </c>
      <c r="D11" s="18" t="s">
        <v>35</v>
      </c>
      <c r="E11" s="5">
        <v>1</v>
      </c>
      <c r="F11" s="3">
        <v>4</v>
      </c>
      <c r="G11" s="5">
        <f t="shared" si="0"/>
        <v>5</v>
      </c>
    </row>
    <row r="12" spans="1:7">
      <c r="A12" s="3">
        <v>10</v>
      </c>
      <c r="B12" s="23"/>
      <c r="C12" s="18" t="s">
        <v>36</v>
      </c>
      <c r="D12" s="18" t="s">
        <v>37</v>
      </c>
      <c r="E12" s="5"/>
      <c r="F12" s="3">
        <v>2</v>
      </c>
      <c r="G12" s="5">
        <f t="shared" si="0"/>
        <v>2</v>
      </c>
    </row>
    <row r="13" spans="1:7">
      <c r="A13" s="3">
        <v>11</v>
      </c>
      <c r="B13" s="23"/>
      <c r="C13" s="18" t="s">
        <v>38</v>
      </c>
      <c r="D13" s="18" t="s">
        <v>39</v>
      </c>
      <c r="E13" s="5">
        <v>1</v>
      </c>
      <c r="F13" s="3">
        <v>1</v>
      </c>
      <c r="G13" s="5">
        <f t="shared" si="0"/>
        <v>2</v>
      </c>
    </row>
    <row r="14" spans="1:7">
      <c r="A14" s="3">
        <v>12</v>
      </c>
      <c r="B14" s="23"/>
      <c r="C14" s="18" t="s">
        <v>25</v>
      </c>
      <c r="D14" s="18" t="s">
        <v>26</v>
      </c>
      <c r="E14" s="5">
        <v>1</v>
      </c>
      <c r="F14" s="3"/>
      <c r="G14" s="5">
        <f t="shared" si="0"/>
        <v>1</v>
      </c>
    </row>
    <row r="15" spans="1:7">
      <c r="A15" s="3">
        <v>13</v>
      </c>
      <c r="B15" s="23"/>
      <c r="C15" s="18" t="s">
        <v>40</v>
      </c>
      <c r="D15" s="18" t="s">
        <v>26</v>
      </c>
      <c r="E15" s="5">
        <v>1</v>
      </c>
      <c r="F15" s="3"/>
      <c r="G15" s="5">
        <f t="shared" si="0"/>
        <v>1</v>
      </c>
    </row>
    <row r="16" spans="1:7">
      <c r="A16" s="3">
        <v>14</v>
      </c>
      <c r="B16" s="23"/>
      <c r="C16" s="18" t="s">
        <v>41</v>
      </c>
      <c r="D16" s="18" t="s">
        <v>42</v>
      </c>
      <c r="E16" s="5"/>
      <c r="F16" s="3">
        <v>7</v>
      </c>
      <c r="G16" s="5">
        <f t="shared" si="0"/>
        <v>7</v>
      </c>
    </row>
    <row r="17" spans="1:14">
      <c r="A17" s="3">
        <v>15</v>
      </c>
      <c r="B17" s="23"/>
      <c r="C17" s="19" t="s">
        <v>43</v>
      </c>
      <c r="D17" s="18" t="s">
        <v>19</v>
      </c>
      <c r="E17" s="5"/>
      <c r="F17" s="3">
        <v>1</v>
      </c>
      <c r="G17" s="5">
        <f t="shared" si="0"/>
        <v>1</v>
      </c>
    </row>
    <row r="18" spans="1:14">
      <c r="A18" s="3">
        <v>16</v>
      </c>
      <c r="B18" s="23"/>
      <c r="C18" s="18" t="s">
        <v>44</v>
      </c>
      <c r="D18" s="18" t="s">
        <v>19</v>
      </c>
      <c r="E18" s="5">
        <v>1</v>
      </c>
      <c r="F18" s="3">
        <v>1</v>
      </c>
      <c r="G18" s="5">
        <f t="shared" si="0"/>
        <v>2</v>
      </c>
    </row>
    <row r="19" spans="1:14">
      <c r="A19" s="3">
        <v>24</v>
      </c>
      <c r="B19" s="23"/>
      <c r="C19" s="18" t="s">
        <v>45</v>
      </c>
      <c r="D19" s="18" t="s">
        <v>46</v>
      </c>
      <c r="E19" s="5"/>
      <c r="F19" s="3">
        <v>4</v>
      </c>
      <c r="G19" s="5">
        <f t="shared" si="0"/>
        <v>4</v>
      </c>
    </row>
    <row r="20" spans="1:14" ht="15.75" customHeight="1">
      <c r="A20" s="3">
        <v>25</v>
      </c>
      <c r="B20" s="23"/>
      <c r="C20" s="18" t="s">
        <v>47</v>
      </c>
      <c r="D20" s="18" t="s">
        <v>48</v>
      </c>
      <c r="E20" s="5"/>
      <c r="F20" s="3">
        <v>1</v>
      </c>
      <c r="G20" s="5">
        <f t="shared" si="0"/>
        <v>1</v>
      </c>
      <c r="N20" t="s">
        <v>13</v>
      </c>
    </row>
    <row r="21" spans="1:14" ht="15.75" customHeight="1">
      <c r="A21" s="3">
        <v>26</v>
      </c>
      <c r="B21" s="23"/>
      <c r="C21" s="19" t="s">
        <v>49</v>
      </c>
      <c r="D21" s="18" t="s">
        <v>50</v>
      </c>
      <c r="E21" s="5"/>
      <c r="F21" s="5">
        <v>1</v>
      </c>
      <c r="G21" s="5">
        <f>E21+F21</f>
        <v>1</v>
      </c>
    </row>
    <row r="22" spans="1:14" ht="15.75" customHeight="1">
      <c r="A22" s="3">
        <v>27</v>
      </c>
      <c r="B22" s="23"/>
      <c r="C22" s="20" t="s">
        <v>51</v>
      </c>
      <c r="D22" s="20" t="s">
        <v>52</v>
      </c>
      <c r="E22" s="5">
        <v>1</v>
      </c>
      <c r="F22" s="5">
        <v>3</v>
      </c>
      <c r="G22" s="5">
        <f>E22+F22</f>
        <v>4</v>
      </c>
    </row>
    <row r="23" spans="1:14" ht="15.75" customHeight="1">
      <c r="A23" s="3">
        <v>28</v>
      </c>
      <c r="B23" s="23"/>
      <c r="C23" s="20" t="s">
        <v>53</v>
      </c>
      <c r="D23" s="20" t="s">
        <v>54</v>
      </c>
      <c r="E23" s="5"/>
      <c r="F23" s="5">
        <v>1</v>
      </c>
      <c r="G23" s="5">
        <f t="shared" ref="G23:G50" si="1">E23+F23</f>
        <v>1</v>
      </c>
    </row>
    <row r="24" spans="1:14" ht="15.75" customHeight="1">
      <c r="A24" s="3">
        <v>29</v>
      </c>
      <c r="B24" s="23"/>
      <c r="C24" s="20" t="s">
        <v>55</v>
      </c>
      <c r="D24" s="20" t="s">
        <v>56</v>
      </c>
      <c r="E24" s="5"/>
      <c r="F24" s="5">
        <v>1</v>
      </c>
      <c r="G24" s="5">
        <f t="shared" si="1"/>
        <v>1</v>
      </c>
    </row>
    <row r="25" spans="1:14" ht="15.75" customHeight="1">
      <c r="A25" s="3">
        <v>30</v>
      </c>
      <c r="B25" s="23"/>
      <c r="C25" s="20" t="s">
        <v>57</v>
      </c>
      <c r="D25" s="20" t="s">
        <v>20</v>
      </c>
      <c r="E25" s="14">
        <v>1</v>
      </c>
      <c r="F25" s="5"/>
      <c r="G25" s="5">
        <f t="shared" si="1"/>
        <v>1</v>
      </c>
    </row>
    <row r="26" spans="1:14" ht="15.75" customHeight="1">
      <c r="A26" s="3">
        <v>31</v>
      </c>
      <c r="B26" s="23"/>
      <c r="C26" s="20"/>
      <c r="D26" s="20"/>
      <c r="E26" s="5"/>
      <c r="F26" s="5"/>
      <c r="G26" s="5">
        <f t="shared" si="1"/>
        <v>0</v>
      </c>
    </row>
    <row r="27" spans="1:14" ht="15.75" customHeight="1">
      <c r="A27" s="3">
        <v>32</v>
      </c>
      <c r="B27" s="23"/>
      <c r="C27" s="20"/>
      <c r="D27" s="20"/>
      <c r="E27" s="5"/>
      <c r="F27" s="5"/>
      <c r="G27" s="5">
        <f t="shared" si="1"/>
        <v>0</v>
      </c>
    </row>
    <row r="28" spans="1:14" ht="15.75" customHeight="1">
      <c r="A28" s="3">
        <v>33</v>
      </c>
      <c r="B28" s="23"/>
      <c r="C28" s="21"/>
      <c r="D28" s="20"/>
      <c r="E28" s="5"/>
      <c r="F28" s="5"/>
      <c r="G28" s="5">
        <v>0</v>
      </c>
    </row>
    <row r="29" spans="1:14" ht="15.75" customHeight="1">
      <c r="A29" s="3">
        <v>34</v>
      </c>
      <c r="B29" s="23"/>
      <c r="C29" s="20"/>
      <c r="D29" s="20"/>
      <c r="E29" s="5"/>
      <c r="F29" s="5"/>
      <c r="G29" s="5">
        <f t="shared" si="1"/>
        <v>0</v>
      </c>
    </row>
    <row r="30" spans="1:14" ht="15.75" customHeight="1">
      <c r="A30" s="3">
        <v>35</v>
      </c>
      <c r="B30" s="23"/>
      <c r="C30" s="20"/>
      <c r="D30" s="20"/>
      <c r="E30" s="5"/>
      <c r="F30" s="5"/>
      <c r="G30" s="5">
        <f t="shared" si="1"/>
        <v>0</v>
      </c>
    </row>
    <row r="31" spans="1:14" ht="15.75" customHeight="1">
      <c r="A31" s="3">
        <v>36</v>
      </c>
      <c r="B31" s="23"/>
      <c r="C31" s="17"/>
      <c r="D31" s="17"/>
      <c r="E31" s="5"/>
      <c r="F31" s="5"/>
      <c r="G31" s="5">
        <f>E31+F31</f>
        <v>0</v>
      </c>
    </row>
    <row r="32" spans="1:14" ht="15.75" customHeight="1">
      <c r="A32" s="3">
        <v>37</v>
      </c>
      <c r="B32" s="23"/>
      <c r="C32" s="17"/>
      <c r="D32" s="17"/>
      <c r="E32" s="5"/>
      <c r="F32" s="5"/>
      <c r="G32" s="5">
        <f t="shared" si="1"/>
        <v>0</v>
      </c>
    </row>
    <row r="33" spans="1:7" ht="15.75" customHeight="1">
      <c r="A33" s="3">
        <v>38</v>
      </c>
      <c r="B33" s="23"/>
      <c r="C33" s="17"/>
      <c r="D33" s="17"/>
      <c r="E33" s="5"/>
      <c r="F33" s="5"/>
      <c r="G33" s="5">
        <f t="shared" si="1"/>
        <v>0</v>
      </c>
    </row>
    <row r="34" spans="1:7" ht="15.75" customHeight="1">
      <c r="A34" s="3">
        <v>39</v>
      </c>
      <c r="B34" s="23"/>
      <c r="C34" s="17"/>
      <c r="D34" s="4"/>
      <c r="E34" s="5"/>
      <c r="F34" s="5"/>
      <c r="G34" s="5">
        <f t="shared" si="1"/>
        <v>0</v>
      </c>
    </row>
    <row r="35" spans="1:7" ht="15.75" customHeight="1">
      <c r="A35" s="3">
        <v>40</v>
      </c>
      <c r="B35" s="23"/>
      <c r="C35" s="17"/>
      <c r="D35" s="4"/>
      <c r="E35" s="5"/>
      <c r="F35" s="5"/>
      <c r="G35" s="5">
        <f t="shared" si="1"/>
        <v>0</v>
      </c>
    </row>
    <row r="36" spans="1:7" ht="15.75" customHeight="1">
      <c r="A36" s="3">
        <v>41</v>
      </c>
      <c r="B36" s="23"/>
      <c r="C36" s="17"/>
      <c r="D36" s="4"/>
      <c r="E36" s="5"/>
      <c r="F36" s="5"/>
      <c r="G36" s="5">
        <f t="shared" si="1"/>
        <v>0</v>
      </c>
    </row>
    <row r="37" spans="1:7" ht="15.75" customHeight="1">
      <c r="A37" s="3">
        <v>42</v>
      </c>
      <c r="B37" s="23"/>
      <c r="C37" s="15"/>
      <c r="D37" s="4"/>
      <c r="E37" s="5"/>
      <c r="F37" s="5"/>
      <c r="G37" s="5">
        <f t="shared" si="1"/>
        <v>0</v>
      </c>
    </row>
    <row r="38" spans="1:7" ht="15.75" customHeight="1">
      <c r="A38" s="3">
        <v>43</v>
      </c>
      <c r="B38" s="23"/>
      <c r="C38" s="15"/>
      <c r="D38" s="4"/>
      <c r="E38" s="5"/>
      <c r="F38" s="5"/>
      <c r="G38" s="5">
        <f t="shared" si="1"/>
        <v>0</v>
      </c>
    </row>
    <row r="39" spans="1:7" ht="15.75" customHeight="1">
      <c r="A39" s="3">
        <v>44</v>
      </c>
      <c r="B39" s="23"/>
      <c r="C39" s="15"/>
      <c r="D39" s="4"/>
      <c r="E39" s="5"/>
      <c r="F39" s="5"/>
      <c r="G39" s="5">
        <f t="shared" si="1"/>
        <v>0</v>
      </c>
    </row>
    <row r="40" spans="1:7" ht="15.75" customHeight="1">
      <c r="A40" s="3">
        <v>45</v>
      </c>
      <c r="B40" s="23"/>
      <c r="C40" s="15"/>
      <c r="D40" s="4"/>
      <c r="E40" s="5"/>
      <c r="F40" s="5"/>
      <c r="G40" s="5">
        <f t="shared" si="1"/>
        <v>0</v>
      </c>
    </row>
    <row r="41" spans="1:7" ht="15.75" customHeight="1">
      <c r="A41" s="3">
        <v>46</v>
      </c>
      <c r="B41" s="23"/>
      <c r="C41" s="15"/>
      <c r="D41" s="4"/>
      <c r="E41" s="5"/>
      <c r="F41" s="5"/>
      <c r="G41" s="5">
        <f t="shared" si="1"/>
        <v>0</v>
      </c>
    </row>
    <row r="42" spans="1:7" ht="15.75" customHeight="1">
      <c r="A42" s="3">
        <v>47</v>
      </c>
      <c r="B42" s="23"/>
      <c r="C42" s="4"/>
      <c r="D42" s="4"/>
      <c r="E42" s="5"/>
      <c r="F42" s="5"/>
      <c r="G42" s="5">
        <f t="shared" si="1"/>
        <v>0</v>
      </c>
    </row>
    <row r="43" spans="1:7" ht="15.75" customHeight="1">
      <c r="A43" s="3">
        <v>48</v>
      </c>
      <c r="B43" s="23"/>
      <c r="C43" s="4"/>
      <c r="D43" s="4"/>
      <c r="E43" s="5"/>
      <c r="F43" s="5"/>
      <c r="G43" s="5">
        <f t="shared" si="1"/>
        <v>0</v>
      </c>
    </row>
    <row r="44" spans="1:7" ht="15.75" customHeight="1">
      <c r="A44" s="3">
        <v>49</v>
      </c>
      <c r="B44" s="23"/>
      <c r="C44" s="4"/>
      <c r="D44" s="4"/>
      <c r="E44" s="5"/>
      <c r="F44" s="5"/>
      <c r="G44" s="5">
        <f t="shared" si="1"/>
        <v>0</v>
      </c>
    </row>
    <row r="45" spans="1:7" ht="15.75" customHeight="1">
      <c r="A45" s="3">
        <v>50</v>
      </c>
      <c r="B45" s="23"/>
      <c r="C45" s="4"/>
      <c r="D45" s="4"/>
      <c r="E45" s="5"/>
      <c r="F45" s="5"/>
      <c r="G45" s="5">
        <f t="shared" si="1"/>
        <v>0</v>
      </c>
    </row>
    <row r="46" spans="1:7" ht="15.75" customHeight="1">
      <c r="A46" s="3">
        <v>51</v>
      </c>
      <c r="B46" s="23"/>
      <c r="C46" s="4"/>
      <c r="D46" s="4"/>
      <c r="E46" s="5"/>
      <c r="F46" s="5"/>
      <c r="G46" s="5">
        <f t="shared" si="1"/>
        <v>0</v>
      </c>
    </row>
    <row r="47" spans="1:7" ht="15.75" customHeight="1">
      <c r="A47" s="3">
        <v>52</v>
      </c>
      <c r="B47" s="23"/>
      <c r="C47" s="4"/>
      <c r="D47" s="4"/>
      <c r="E47" s="5"/>
      <c r="F47" s="5"/>
      <c r="G47" s="5">
        <f t="shared" si="1"/>
        <v>0</v>
      </c>
    </row>
    <row r="48" spans="1:7" ht="15.75" customHeight="1">
      <c r="A48" s="3">
        <v>53</v>
      </c>
      <c r="B48" s="23"/>
      <c r="C48" s="4"/>
      <c r="D48" s="4"/>
      <c r="E48" s="5"/>
      <c r="F48" s="5"/>
      <c r="G48" s="5">
        <f t="shared" si="1"/>
        <v>0</v>
      </c>
    </row>
    <row r="49" spans="1:10" ht="15.75" customHeight="1">
      <c r="A49" s="3">
        <v>54</v>
      </c>
      <c r="B49" s="23"/>
      <c r="C49" s="4"/>
      <c r="D49" s="4"/>
      <c r="E49" s="5"/>
      <c r="F49" s="5"/>
      <c r="G49" s="5">
        <f t="shared" si="1"/>
        <v>0</v>
      </c>
    </row>
    <row r="50" spans="1:10" ht="15.75" customHeight="1">
      <c r="A50" s="3">
        <v>55</v>
      </c>
      <c r="B50" s="23"/>
      <c r="C50" s="4"/>
      <c r="D50" s="4"/>
      <c r="E50" s="5"/>
      <c r="F50" s="5"/>
      <c r="G50" s="5">
        <f t="shared" si="1"/>
        <v>0</v>
      </c>
    </row>
    <row r="51" spans="1:10" ht="15.75" customHeight="1">
      <c r="A51" s="3">
        <v>56</v>
      </c>
      <c r="B51" s="23"/>
      <c r="C51" s="4"/>
      <c r="D51" s="4"/>
      <c r="E51" s="5"/>
      <c r="F51" s="5"/>
      <c r="G51" s="5">
        <f>E51+F51</f>
        <v>0</v>
      </c>
    </row>
    <row r="52" spans="1:10" ht="21">
      <c r="A52" s="3"/>
      <c r="B52" s="6"/>
      <c r="C52" s="6" t="s">
        <v>17</v>
      </c>
      <c r="D52" s="6"/>
      <c r="E52" s="7">
        <f>SUM(E3:E51)</f>
        <v>12</v>
      </c>
      <c r="F52" s="7">
        <f>SUM(F3:F51)</f>
        <v>49</v>
      </c>
      <c r="G52" s="7">
        <f>SUM(G3:G51)</f>
        <v>61</v>
      </c>
    </row>
    <row r="53" spans="1:10" ht="75.75" customHeight="1">
      <c r="A53" s="8" t="s">
        <v>8</v>
      </c>
      <c r="B53" s="9" t="s">
        <v>9</v>
      </c>
      <c r="C53" s="10" t="s">
        <v>10</v>
      </c>
      <c r="D53" s="11" t="s">
        <v>11</v>
      </c>
      <c r="E53" s="13" t="s">
        <v>12</v>
      </c>
      <c r="F53" s="13" t="s">
        <v>14</v>
      </c>
      <c r="J53" t="s">
        <v>16</v>
      </c>
    </row>
    <row r="54" spans="1:10">
      <c r="A54" s="3">
        <v>497</v>
      </c>
      <c r="B54" s="4">
        <v>3</v>
      </c>
      <c r="C54" s="4">
        <v>804</v>
      </c>
      <c r="D54" s="4">
        <v>290</v>
      </c>
      <c r="E54" s="4">
        <f>SUM(Tabla1[[#This Row],[GARRAFONES CON LOGOTIPO EN EXISTENCIA]]+Tabla1[[#This Row],[GARRAFONES EN EXISTENCIA SIN LOGOTIPO]])</f>
        <v>293</v>
      </c>
      <c r="F54">
        <f>Tabla1[[#This Row],[GARRAFONES ENTREGADOS CON LOGOTIPO]]+Tabla1[[#This Row],[GARRAFONES  ENTREGADOS SIN LOGOTIPO ]]</f>
        <v>1301</v>
      </c>
    </row>
    <row r="55" spans="1:10" hidden="1">
      <c r="A55" s="12"/>
      <c r="B55" s="12"/>
      <c r="C55" s="12"/>
      <c r="D55" s="12">
        <f>100-Tabla1[[#This Row],[GARRAFONES  ENTREGADOS SIN LOGOTIPO ]]</f>
        <v>100</v>
      </c>
      <c r="E55" s="12">
        <f>SUM(Tabla1[[#This Row],[GARRAFONES CON LOGOTIPO EN EXISTENCIA]]+Tabla1[[#This Row],[GARRAFONES EN EXISTENCIA SIN LOGOTIPO]])</f>
        <v>100</v>
      </c>
      <c r="F55">
        <f>Tabla1[[#This Row],[GARRAFONES ENTREGADOS CON LOGOTIPO]]+Tabla1[[#This Row],[GARRAFONES  ENTREGADOS SIN LOGOTIPO ]]</f>
        <v>0</v>
      </c>
    </row>
    <row r="56" spans="1:10">
      <c r="A56" s="12"/>
      <c r="B56" s="12"/>
      <c r="C56" s="12"/>
      <c r="D56" s="12" t="s">
        <v>15</v>
      </c>
      <c r="E56" s="12"/>
    </row>
    <row r="57" spans="1:10">
      <c r="A57" s="12"/>
      <c r="B57" s="12"/>
      <c r="C57" s="12"/>
      <c r="D57" s="12"/>
      <c r="E57" s="12"/>
    </row>
    <row r="58" spans="1:10">
      <c r="A58" s="12"/>
      <c r="B58" s="12"/>
      <c r="C58" s="12"/>
      <c r="D58" s="12"/>
      <c r="E58" s="12"/>
    </row>
    <row r="59" spans="1:10">
      <c r="A59" s="12"/>
      <c r="B59" s="12"/>
      <c r="C59" s="12"/>
      <c r="D59" s="12"/>
      <c r="E59" s="12"/>
    </row>
    <row r="60" spans="1:10">
      <c r="A60" s="12"/>
      <c r="B60" s="12"/>
      <c r="C60" s="12"/>
      <c r="D60" s="12"/>
      <c r="E60" s="12"/>
      <c r="F60" s="12"/>
    </row>
    <row r="61" spans="1:10">
      <c r="A61" s="12"/>
      <c r="B61" s="12"/>
      <c r="C61" s="12"/>
      <c r="D61" s="12"/>
      <c r="E61" s="12"/>
      <c r="F61" s="12"/>
    </row>
    <row r="62" spans="1:10">
      <c r="A62" s="12"/>
      <c r="B62" s="12"/>
      <c r="C62" s="12"/>
      <c r="D62" s="12"/>
      <c r="E62" s="12"/>
      <c r="F62" s="12"/>
    </row>
    <row r="63" spans="1:10">
      <c r="A63" s="12"/>
      <c r="B63" s="12"/>
      <c r="C63" s="12"/>
      <c r="D63" s="12"/>
      <c r="E63" s="12"/>
      <c r="F63" s="12"/>
    </row>
    <row r="64" spans="1:10">
      <c r="A64" s="12"/>
      <c r="B64" s="12"/>
      <c r="C64" s="12"/>
      <c r="D64" s="12"/>
      <c r="E64" s="12"/>
      <c r="F64" s="12"/>
    </row>
    <row r="65" spans="1:6">
      <c r="A65" s="12"/>
      <c r="B65" s="12"/>
      <c r="C65" s="12"/>
      <c r="D65" s="12"/>
      <c r="E65" s="12"/>
      <c r="F65" s="12"/>
    </row>
    <row r="66" spans="1:6">
      <c r="C66" s="12"/>
      <c r="D66" s="12"/>
      <c r="E66" s="12"/>
      <c r="F66" s="12"/>
    </row>
    <row r="67" spans="1:6">
      <c r="C67" s="12"/>
      <c r="D67" s="12"/>
      <c r="E67" s="12"/>
      <c r="F67" s="12"/>
    </row>
    <row r="68" spans="1:6">
      <c r="C68" s="12"/>
      <c r="D68" s="12"/>
      <c r="E68" s="12"/>
      <c r="F68" s="12"/>
    </row>
    <row r="69" spans="1:6">
      <c r="C69" s="12"/>
      <c r="D69" s="12"/>
      <c r="E69" s="12"/>
      <c r="F69" s="12"/>
    </row>
  </sheetData>
  <mergeCells count="2">
    <mergeCell ref="B3:B51"/>
    <mergeCell ref="A1:G1"/>
  </mergeCells>
  <phoneticPr fontId="13" type="noConversion"/>
  <pageMargins left="0.7" right="0.7" top="0.75" bottom="0.75" header="0.3" footer="0.3"/>
  <pageSetup paperSize="5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70201-3195-4325-AB97-1CF74D7F8DC5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purifcadora agua</dc:creator>
  <cp:lastModifiedBy>Dani Avila</cp:lastModifiedBy>
  <cp:lastPrinted>2025-09-11T22:16:41Z</cp:lastPrinted>
  <dcterms:created xsi:type="dcterms:W3CDTF">2015-06-05T18:19:00Z</dcterms:created>
  <dcterms:modified xsi:type="dcterms:W3CDTF">2025-09-25T00:34:05Z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1FAD0F30BABA4411B97657FD283F60E7_12</vt:lpwstr>
  </property>
  <property fmtid="{D5CDD505-2E9C-101B-9397-08002B2CF9AE}" pid="3" name="KSOProductBuildVer">
    <vt:lpwstr>2058-12.2.0.17153</vt:lpwstr>
  </property>
</Properties>
</file>